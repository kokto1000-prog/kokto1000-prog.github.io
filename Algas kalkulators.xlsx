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Mans disks\Piķis\"/>
    </mc:Choice>
  </mc:AlternateContent>
  <xr:revisionPtr revIDLastSave="0" documentId="13_ncr:1_{130EE99F-DB32-4671-AF31-5674B6550522}" xr6:coauthVersionLast="47" xr6:coauthVersionMax="47" xr10:uidLastSave="{00000000-0000-0000-0000-000000000000}"/>
  <bookViews>
    <workbookView xWindow="25185" yWindow="1215" windowWidth="5895" windowHeight="19545" xr2:uid="{00000000-000D-0000-FFFF-FFFF00000000}"/>
  </bookViews>
  <sheets>
    <sheet name="Piķis 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BEjwFhfA8VNODW5ZQuj8PenYrjVfJagNeeLz002KWA="/>
    </ext>
  </extLst>
</workbook>
</file>

<file path=xl/calcChain.xml><?xml version="1.0" encoding="utf-8"?>
<calcChain xmlns="http://schemas.openxmlformats.org/spreadsheetml/2006/main">
  <c r="E83" i="1" l="1"/>
  <c r="B83" i="1"/>
  <c r="E77" i="1"/>
  <c r="B77" i="1"/>
  <c r="E69" i="1"/>
  <c r="B69" i="1"/>
  <c r="E63" i="1"/>
  <c r="B63" i="1"/>
  <c r="E55" i="1"/>
  <c r="B55" i="1"/>
  <c r="E49" i="1"/>
  <c r="B49" i="1"/>
  <c r="E41" i="1"/>
  <c r="B41" i="1"/>
  <c r="E35" i="1"/>
  <c r="B35" i="1"/>
  <c r="E27" i="1"/>
  <c r="B27" i="1"/>
  <c r="E21" i="1"/>
  <c r="B21" i="1"/>
  <c r="B14" i="1"/>
  <c r="E14" i="1" s="1"/>
  <c r="B28" i="1" s="1"/>
  <c r="E28" i="1" s="1"/>
  <c r="B42" i="1" s="1"/>
  <c r="E42" i="1" s="1"/>
  <c r="B56" i="1" s="1"/>
  <c r="E56" i="1" s="1"/>
  <c r="E13" i="1"/>
  <c r="B13" i="1"/>
  <c r="E7" i="1"/>
  <c r="B7" i="1"/>
  <c r="B70" i="1" l="1"/>
  <c r="E70" i="1" s="1"/>
  <c r="B84" i="1" s="1"/>
  <c r="E84" i="1" s="1"/>
</calcChain>
</file>

<file path=xl/sharedStrings.xml><?xml version="1.0" encoding="utf-8"?>
<sst xmlns="http://schemas.openxmlformats.org/spreadsheetml/2006/main" count="145" uniqueCount="33">
  <si>
    <t>Obligāti jāievada Begin stundas ar divpunktu ( : ) un Bruto , Neto no Algas kartītes .</t>
  </si>
  <si>
    <t>Likme</t>
  </si>
  <si>
    <t>Janvāris</t>
  </si>
  <si>
    <t>Februāris</t>
  </si>
  <si>
    <t>Begin/h</t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</si>
  <si>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</si>
  <si>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</si>
  <si>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t>Bruto</t>
  </si>
  <si>
    <t>Neto</t>
  </si>
  <si>
    <t>Izmaksas</t>
  </si>
  <si>
    <t>Saņemts</t>
  </si>
  <si>
    <t>Iekšā</t>
  </si>
  <si>
    <t>Labot</t>
  </si>
  <si>
    <t>Marts</t>
  </si>
  <si>
    <t>Aprīlis</t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</si>
  <si>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</si>
  <si>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</si>
  <si>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t>Maijs</t>
  </si>
  <si>
    <t>Jūnijs</t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</si>
  <si>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</si>
  <si>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</si>
  <si>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t>Jūlijs</t>
  </si>
  <si>
    <t>Augusts</t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</si>
  <si>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</si>
  <si>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</si>
  <si>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t>Septembris</t>
  </si>
  <si>
    <t>Oktobris</t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</si>
  <si>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</si>
  <si>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</si>
  <si>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t>Novembris</t>
  </si>
  <si>
    <t>Decembris</t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</si>
  <si>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</si>
  <si>
    <r>
      <rPr>
        <sz val="11"/>
        <color theme="1"/>
        <rFont val="Calibri"/>
      </rPr>
      <t>h/</t>
    </r>
    <r>
      <rPr>
        <sz val="11"/>
        <color theme="1"/>
        <rFont val="Calibri"/>
      </rPr>
      <t>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</si>
</sst>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0"/>
      <color theme="1"/>
      <name val="Calibri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4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21" fontId="4" fillId="2" borderId="6" xfId="0" applyNumberFormat="1" applyFont="1" applyFill="1" applyBorder="1" applyAlignment="1">
      <alignment horizontal="center"/>
    </xf>
    <xf numFmtId="46" fontId="4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2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5" fillId="0" borderId="1" xfId="0" applyFont="1" applyBorder="1" applyAlignment="1">
      <alignment horizontal="center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1" workbookViewId="0">
      <selection activeCell="E68" sqref="E68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3.42578125" customWidth="1"/>
    <col min="4" max="4" width="8.85546875" customWidth="1"/>
    <col min="5" max="5" width="9.140625" customWidth="1"/>
    <col min="6" max="26" width="8.7109375" customWidth="1"/>
  </cols>
  <sheetData>
    <row r="1" spans="1:5" x14ac:dyDescent="0.25">
      <c r="A1" s="20" t="s">
        <v>0</v>
      </c>
      <c r="B1" s="21"/>
      <c r="C1" s="21"/>
      <c r="D1" s="21"/>
      <c r="E1" s="21"/>
    </row>
    <row r="2" spans="1:5" ht="15" customHeight="1" x14ac:dyDescent="0.25">
      <c r="A2" s="21"/>
      <c r="B2" s="21"/>
      <c r="C2" s="21"/>
      <c r="D2" s="21"/>
      <c r="E2" s="21"/>
    </row>
    <row r="3" spans="1:5" ht="18.75" x14ac:dyDescent="0.3">
      <c r="A3" s="22">
        <v>2023</v>
      </c>
      <c r="B3" s="23"/>
      <c r="C3" s="1"/>
      <c r="D3" s="22">
        <v>2023</v>
      </c>
      <c r="E3" s="23"/>
    </row>
    <row r="4" spans="1:5" x14ac:dyDescent="0.25">
      <c r="A4" s="2" t="s">
        <v>1</v>
      </c>
      <c r="B4" s="3">
        <v>11</v>
      </c>
      <c r="C4" s="4"/>
      <c r="D4" s="5" t="s">
        <v>1</v>
      </c>
      <c r="E4" s="6">
        <v>11</v>
      </c>
    </row>
    <row r="5" spans="1:5" x14ac:dyDescent="0.25">
      <c r="A5" s="24" t="s">
        <v>2</v>
      </c>
      <c r="B5" s="23"/>
      <c r="C5" s="7"/>
      <c r="D5" s="24" t="s">
        <v>3</v>
      </c>
      <c r="E5" s="23"/>
    </row>
    <row r="6" spans="1:5" x14ac:dyDescent="0.25">
      <c r="A6" s="8" t="s">
        <v>4</v>
      </c>
      <c r="B6" s="9">
        <v>0</v>
      </c>
      <c r="C6" s="10"/>
      <c r="D6" s="8" t="s">
        <v>4</v>
      </c>
      <c r="E6" s="9">
        <v>0</v>
      </c>
    </row>
    <row r="7" spans="1:5" x14ac:dyDescent="0.25">
      <c r="A7" s="11" t="s">
        <v>5</v>
      </c>
      <c r="B7" s="12">
        <f>B6*$B$4*24</f>
        <v>0</v>
      </c>
      <c r="C7" s="13"/>
      <c r="D7" s="11" t="s">
        <v>6</v>
      </c>
      <c r="E7" s="12">
        <f>E6*$E$6*24</f>
        <v>0</v>
      </c>
    </row>
    <row r="8" spans="1:5" x14ac:dyDescent="0.25">
      <c r="A8" s="11" t="s">
        <v>7</v>
      </c>
      <c r="B8" s="14">
        <v>0</v>
      </c>
      <c r="C8" s="4"/>
      <c r="D8" s="11" t="s">
        <v>7</v>
      </c>
      <c r="E8" s="14">
        <v>0</v>
      </c>
    </row>
    <row r="9" spans="1:5" x14ac:dyDescent="0.25">
      <c r="A9" s="11" t="s">
        <v>8</v>
      </c>
      <c r="B9" s="14">
        <v>0</v>
      </c>
      <c r="C9" s="4"/>
      <c r="D9" s="11" t="s">
        <v>8</v>
      </c>
      <c r="E9" s="14">
        <v>0</v>
      </c>
    </row>
    <row r="10" spans="1:5" x14ac:dyDescent="0.25">
      <c r="A10" s="11" t="s">
        <v>9</v>
      </c>
      <c r="B10" s="14">
        <v>0</v>
      </c>
      <c r="C10" s="4"/>
      <c r="D10" s="11" t="s">
        <v>9</v>
      </c>
      <c r="E10" s="14">
        <v>0</v>
      </c>
    </row>
    <row r="11" spans="1:5" x14ac:dyDescent="0.25">
      <c r="A11" s="11" t="s">
        <v>9</v>
      </c>
      <c r="B11" s="14">
        <v>0</v>
      </c>
      <c r="C11" s="4"/>
      <c r="D11" s="11" t="s">
        <v>9</v>
      </c>
      <c r="E11" s="14">
        <v>0</v>
      </c>
    </row>
    <row r="12" spans="1:5" x14ac:dyDescent="0.25">
      <c r="A12" s="11" t="s">
        <v>9</v>
      </c>
      <c r="B12" s="14">
        <v>0</v>
      </c>
      <c r="C12" s="4"/>
      <c r="D12" s="11" t="s">
        <v>9</v>
      </c>
      <c r="E12" s="14">
        <v>0</v>
      </c>
    </row>
    <row r="13" spans="1:5" x14ac:dyDescent="0.25">
      <c r="A13" s="11" t="s">
        <v>10</v>
      </c>
      <c r="B13" s="11">
        <f>B9+B10+B11+B12</f>
        <v>0</v>
      </c>
      <c r="C13" s="15"/>
      <c r="D13" s="11" t="s">
        <v>10</v>
      </c>
      <c r="E13" s="11">
        <f>E9+E10+E11+E12</f>
        <v>0</v>
      </c>
    </row>
    <row r="14" spans="1:5" x14ac:dyDescent="0.25">
      <c r="A14" s="16" t="s">
        <v>11</v>
      </c>
      <c r="B14" s="17">
        <f>B7-B8-B10-B11-B12+B15</f>
        <v>0</v>
      </c>
      <c r="C14" s="18"/>
      <c r="D14" s="16" t="s">
        <v>11</v>
      </c>
      <c r="E14" s="17">
        <f>B14+(E7-E8-E10-E11-E12)+E15</f>
        <v>0</v>
      </c>
    </row>
    <row r="15" spans="1:5" x14ac:dyDescent="0.25">
      <c r="A15" s="16" t="s">
        <v>12</v>
      </c>
      <c r="B15" s="19">
        <v>0</v>
      </c>
      <c r="C15" s="18"/>
      <c r="D15" s="16" t="s">
        <v>12</v>
      </c>
      <c r="E15" s="19">
        <v>0</v>
      </c>
    </row>
    <row r="16" spans="1:5" x14ac:dyDescent="0.25">
      <c r="A16" s="7"/>
      <c r="B16" s="18"/>
      <c r="C16" s="18"/>
      <c r="D16" s="7"/>
      <c r="E16" s="18"/>
    </row>
    <row r="17" spans="1:5" ht="18.75" x14ac:dyDescent="0.3">
      <c r="A17" s="22">
        <v>2023</v>
      </c>
      <c r="B17" s="23"/>
      <c r="C17" s="1"/>
      <c r="D17" s="22">
        <v>2023</v>
      </c>
      <c r="E17" s="23"/>
    </row>
    <row r="18" spans="1:5" x14ac:dyDescent="0.25">
      <c r="A18" s="2" t="s">
        <v>1</v>
      </c>
      <c r="B18" s="3">
        <v>11</v>
      </c>
      <c r="C18" s="4"/>
      <c r="D18" s="5" t="s">
        <v>1</v>
      </c>
      <c r="E18" s="6">
        <v>11</v>
      </c>
    </row>
    <row r="19" spans="1:5" x14ac:dyDescent="0.25">
      <c r="A19" s="24" t="s">
        <v>13</v>
      </c>
      <c r="B19" s="23"/>
      <c r="C19" s="7"/>
      <c r="D19" s="24" t="s">
        <v>14</v>
      </c>
      <c r="E19" s="23"/>
    </row>
    <row r="20" spans="1:5" x14ac:dyDescent="0.25">
      <c r="A20" s="8" t="s">
        <v>4</v>
      </c>
      <c r="B20" s="9">
        <v>5.9729166666666664</v>
      </c>
      <c r="C20" s="10"/>
      <c r="D20" s="8" t="s">
        <v>4</v>
      </c>
      <c r="E20" s="9">
        <v>5.5326388888888891</v>
      </c>
    </row>
    <row r="21" spans="1:5" ht="15.75" customHeight="1" x14ac:dyDescent="0.25">
      <c r="A21" s="11" t="s">
        <v>15</v>
      </c>
      <c r="B21" s="12">
        <f>B20*$B$18*24</f>
        <v>1576.85</v>
      </c>
      <c r="C21" s="13"/>
      <c r="D21" s="11" t="s">
        <v>16</v>
      </c>
      <c r="E21" s="12">
        <f>E20*$E$18*24</f>
        <v>1460.6166666666668</v>
      </c>
    </row>
    <row r="22" spans="1:5" ht="15.75" customHeight="1" x14ac:dyDescent="0.25">
      <c r="A22" s="11" t="s">
        <v>7</v>
      </c>
      <c r="B22" s="14">
        <v>1001</v>
      </c>
      <c r="C22" s="4"/>
      <c r="D22" s="11" t="s">
        <v>7</v>
      </c>
      <c r="E22" s="14">
        <v>974.4</v>
      </c>
    </row>
    <row r="23" spans="1:5" ht="15.75" customHeight="1" x14ac:dyDescent="0.25">
      <c r="A23" s="11" t="s">
        <v>8</v>
      </c>
      <c r="B23" s="14">
        <v>768.99</v>
      </c>
      <c r="C23" s="4"/>
      <c r="D23" s="11" t="s">
        <v>8</v>
      </c>
      <c r="E23" s="14">
        <v>749.95</v>
      </c>
    </row>
    <row r="24" spans="1:5" ht="15.75" customHeight="1" x14ac:dyDescent="0.25">
      <c r="A24" s="11" t="s">
        <v>9</v>
      </c>
      <c r="B24" s="14">
        <v>300</v>
      </c>
      <c r="C24" s="4"/>
      <c r="D24" s="11" t="s">
        <v>9</v>
      </c>
      <c r="E24" s="14">
        <v>500</v>
      </c>
    </row>
    <row r="25" spans="1:5" ht="15.75" customHeight="1" x14ac:dyDescent="0.25">
      <c r="A25" s="11" t="s">
        <v>9</v>
      </c>
      <c r="B25" s="14">
        <v>500</v>
      </c>
      <c r="C25" s="4"/>
      <c r="D25" s="11" t="s">
        <v>9</v>
      </c>
      <c r="E25" s="14">
        <v>0</v>
      </c>
    </row>
    <row r="26" spans="1:5" ht="15.75" customHeight="1" x14ac:dyDescent="0.25">
      <c r="A26" s="11" t="s">
        <v>9</v>
      </c>
      <c r="B26" s="14">
        <v>0</v>
      </c>
      <c r="C26" s="4"/>
      <c r="D26" s="11" t="s">
        <v>9</v>
      </c>
      <c r="E26" s="14">
        <v>0</v>
      </c>
    </row>
    <row r="27" spans="1:5" ht="15.75" customHeight="1" x14ac:dyDescent="0.25">
      <c r="A27" s="11" t="s">
        <v>10</v>
      </c>
      <c r="B27" s="11">
        <f>B23+B24+B25+B26</f>
        <v>1568.99</v>
      </c>
      <c r="C27" s="15"/>
      <c r="D27" s="11" t="s">
        <v>10</v>
      </c>
      <c r="E27" s="11">
        <f>E23+E24+E25+E26</f>
        <v>1249.95</v>
      </c>
    </row>
    <row r="28" spans="1:5" ht="15.75" customHeight="1" x14ac:dyDescent="0.25">
      <c r="A28" s="16" t="s">
        <v>11</v>
      </c>
      <c r="B28" s="17">
        <f>E14+(B21-B22-B24-B25-B26)+B29</f>
        <v>159.99999999999989</v>
      </c>
      <c r="C28" s="18"/>
      <c r="D28" s="16" t="s">
        <v>11</v>
      </c>
      <c r="E28" s="17">
        <f>B28+(E21-E22-E24-E25-E26)+E29</f>
        <v>146.2166666666667</v>
      </c>
    </row>
    <row r="29" spans="1:5" ht="15.75" customHeight="1" x14ac:dyDescent="0.25">
      <c r="A29" s="16" t="s">
        <v>12</v>
      </c>
      <c r="B29" s="19">
        <v>384.15</v>
      </c>
      <c r="C29" s="18"/>
      <c r="D29" s="16" t="s">
        <v>12</v>
      </c>
      <c r="E29" s="19">
        <v>0</v>
      </c>
    </row>
    <row r="30" spans="1:5" ht="15.75" customHeight="1" x14ac:dyDescent="0.25">
      <c r="A30" s="7"/>
      <c r="B30" s="18"/>
      <c r="C30" s="18"/>
      <c r="D30" s="7"/>
      <c r="E30" s="18"/>
    </row>
    <row r="31" spans="1:5" ht="15.75" customHeight="1" x14ac:dyDescent="0.3">
      <c r="A31" s="22">
        <v>2023</v>
      </c>
      <c r="B31" s="23"/>
      <c r="C31" s="1"/>
      <c r="D31" s="22">
        <v>2023</v>
      </c>
      <c r="E31" s="23"/>
    </row>
    <row r="32" spans="1:5" ht="15.75" customHeight="1" x14ac:dyDescent="0.25">
      <c r="A32" s="2" t="s">
        <v>1</v>
      </c>
      <c r="B32" s="3">
        <v>11</v>
      </c>
      <c r="C32" s="4"/>
      <c r="D32" s="5" t="s">
        <v>1</v>
      </c>
      <c r="E32" s="6">
        <v>11</v>
      </c>
    </row>
    <row r="33" spans="1:5" ht="15.75" customHeight="1" x14ac:dyDescent="0.25">
      <c r="A33" s="24" t="s">
        <v>17</v>
      </c>
      <c r="B33" s="23"/>
      <c r="C33" s="7"/>
      <c r="D33" s="24" t="s">
        <v>18</v>
      </c>
      <c r="E33" s="23"/>
    </row>
    <row r="34" spans="1:5" ht="15.75" customHeight="1" x14ac:dyDescent="0.25">
      <c r="A34" s="8" t="s">
        <v>4</v>
      </c>
      <c r="B34" s="9">
        <v>5.2277777777777779</v>
      </c>
      <c r="C34" s="10"/>
      <c r="D34" s="8" t="s">
        <v>4</v>
      </c>
      <c r="E34" s="9">
        <v>5.2076388888888889</v>
      </c>
    </row>
    <row r="35" spans="1:5" ht="15.75" customHeight="1" x14ac:dyDescent="0.25">
      <c r="A35" s="11" t="s">
        <v>19</v>
      </c>
      <c r="B35" s="12">
        <f>B34*$B$32*24</f>
        <v>1380.1333333333334</v>
      </c>
      <c r="C35" s="13"/>
      <c r="D35" s="11" t="s">
        <v>20</v>
      </c>
      <c r="E35" s="12">
        <f>E34*$E$32*24</f>
        <v>1374.8166666666666</v>
      </c>
    </row>
    <row r="36" spans="1:5" ht="15.75" customHeight="1" x14ac:dyDescent="0.25">
      <c r="A36" s="11" t="s">
        <v>7</v>
      </c>
      <c r="B36" s="14">
        <v>925.26</v>
      </c>
      <c r="C36" s="4"/>
      <c r="D36" s="11" t="s">
        <v>7</v>
      </c>
      <c r="E36" s="14">
        <v>973.98</v>
      </c>
    </row>
    <row r="37" spans="1:5" ht="15.75" customHeight="1" x14ac:dyDescent="0.25">
      <c r="A37" s="11" t="s">
        <v>8</v>
      </c>
      <c r="B37" s="14">
        <v>714.76</v>
      </c>
      <c r="C37" s="4"/>
      <c r="D37" s="11" t="s">
        <v>8</v>
      </c>
      <c r="E37" s="14">
        <v>749.64</v>
      </c>
    </row>
    <row r="38" spans="1:5" ht="15.75" customHeight="1" x14ac:dyDescent="0.25">
      <c r="A38" s="11" t="s">
        <v>9</v>
      </c>
      <c r="B38" s="14">
        <v>200</v>
      </c>
      <c r="C38" s="4"/>
      <c r="D38" s="11" t="s">
        <v>9</v>
      </c>
      <c r="E38" s="14">
        <v>400</v>
      </c>
    </row>
    <row r="39" spans="1:5" ht="15.75" customHeight="1" x14ac:dyDescent="0.25">
      <c r="A39" s="11" t="s">
        <v>9</v>
      </c>
      <c r="B39" s="14">
        <v>0</v>
      </c>
      <c r="C39" s="4"/>
      <c r="D39" s="11" t="s">
        <v>9</v>
      </c>
      <c r="E39" s="14">
        <v>0</v>
      </c>
    </row>
    <row r="40" spans="1:5" ht="15.75" customHeight="1" x14ac:dyDescent="0.25">
      <c r="A40" s="11" t="s">
        <v>9</v>
      </c>
      <c r="B40" s="14">
        <v>0</v>
      </c>
      <c r="C40" s="4"/>
      <c r="D40" s="11" t="s">
        <v>9</v>
      </c>
      <c r="E40" s="14">
        <v>0</v>
      </c>
    </row>
    <row r="41" spans="1:5" ht="15.75" customHeight="1" x14ac:dyDescent="0.25">
      <c r="A41" s="11" t="s">
        <v>10</v>
      </c>
      <c r="B41" s="11">
        <f>B37+B38+B39+B40</f>
        <v>914.76</v>
      </c>
      <c r="C41" s="15"/>
      <c r="D41" s="11" t="s">
        <v>10</v>
      </c>
      <c r="E41" s="11">
        <f>E37+E38+E39+E40</f>
        <v>1149.6399999999999</v>
      </c>
    </row>
    <row r="42" spans="1:5" ht="15.75" customHeight="1" x14ac:dyDescent="0.25">
      <c r="A42" s="16" t="s">
        <v>11</v>
      </c>
      <c r="B42" s="17">
        <f>E28+(B35-B36-B38-B39-B40)+B43</f>
        <v>401.09000000000015</v>
      </c>
      <c r="C42" s="18"/>
      <c r="D42" s="16" t="s">
        <v>11</v>
      </c>
      <c r="E42" s="17">
        <f>B42+(E35-E36-E38-E39-E40)+E43</f>
        <v>401.92666666666673</v>
      </c>
    </row>
    <row r="43" spans="1:5" ht="15.75" customHeight="1" x14ac:dyDescent="0.25">
      <c r="A43" s="16" t="s">
        <v>12</v>
      </c>
      <c r="B43" s="19">
        <v>0</v>
      </c>
      <c r="C43" s="18"/>
      <c r="D43" s="16" t="s">
        <v>12</v>
      </c>
      <c r="E43" s="19">
        <v>0</v>
      </c>
    </row>
    <row r="44" spans="1:5" ht="15.75" customHeight="1" x14ac:dyDescent="0.25">
      <c r="A44" s="7"/>
      <c r="B44" s="18"/>
      <c r="C44" s="18"/>
      <c r="D44" s="7"/>
      <c r="E44" s="18"/>
    </row>
    <row r="45" spans="1:5" ht="15.75" customHeight="1" x14ac:dyDescent="0.3">
      <c r="A45" s="22">
        <v>2023</v>
      </c>
      <c r="B45" s="23"/>
      <c r="C45" s="1"/>
      <c r="D45" s="22">
        <v>2023</v>
      </c>
      <c r="E45" s="23"/>
    </row>
    <row r="46" spans="1:5" ht="15.75" customHeight="1" x14ac:dyDescent="0.25">
      <c r="A46" s="2" t="s">
        <v>1</v>
      </c>
      <c r="B46" s="3">
        <v>11</v>
      </c>
      <c r="C46" s="4"/>
      <c r="D46" s="5" t="s">
        <v>1</v>
      </c>
      <c r="E46" s="6">
        <v>11</v>
      </c>
    </row>
    <row r="47" spans="1:5" ht="15.75" customHeight="1" x14ac:dyDescent="0.25">
      <c r="A47" s="24" t="s">
        <v>21</v>
      </c>
      <c r="B47" s="23"/>
      <c r="C47" s="7"/>
      <c r="D47" s="24" t="s">
        <v>22</v>
      </c>
      <c r="E47" s="23"/>
    </row>
    <row r="48" spans="1:5" ht="15.75" customHeight="1" x14ac:dyDescent="0.25">
      <c r="A48" s="8" t="s">
        <v>4</v>
      </c>
      <c r="B48" s="9">
        <v>7.3868055555555552</v>
      </c>
      <c r="C48" s="10"/>
      <c r="D48" s="8" t="s">
        <v>4</v>
      </c>
      <c r="E48" s="9">
        <v>5.833333333333333</v>
      </c>
    </row>
    <row r="49" spans="1:5" ht="15.75" customHeight="1" x14ac:dyDescent="0.25">
      <c r="A49" s="11" t="s">
        <v>23</v>
      </c>
      <c r="B49" s="12">
        <f>B48*$B$46*24</f>
        <v>1950.1166666666668</v>
      </c>
      <c r="C49" s="13"/>
      <c r="D49" s="11" t="s">
        <v>24</v>
      </c>
      <c r="E49" s="12">
        <f>E48*$E$46*24</f>
        <v>1539.9999999999998</v>
      </c>
    </row>
    <row r="50" spans="1:5" ht="15.75" customHeight="1" x14ac:dyDescent="0.25">
      <c r="A50" s="11" t="s">
        <v>7</v>
      </c>
      <c r="B50" s="14">
        <v>1280.02</v>
      </c>
      <c r="C50" s="4"/>
      <c r="D50" s="11" t="s">
        <v>7</v>
      </c>
      <c r="E50" s="14">
        <v>1239</v>
      </c>
    </row>
    <row r="51" spans="1:5" ht="15.75" customHeight="1" x14ac:dyDescent="0.25">
      <c r="A51" s="11" t="s">
        <v>8</v>
      </c>
      <c r="B51" s="14">
        <v>968.77</v>
      </c>
      <c r="C51" s="4"/>
      <c r="D51" s="11" t="s">
        <v>8</v>
      </c>
      <c r="E51" s="14">
        <v>939.4</v>
      </c>
    </row>
    <row r="52" spans="1:5" ht="15.75" customHeight="1" x14ac:dyDescent="0.25">
      <c r="A52" s="11" t="s">
        <v>9</v>
      </c>
      <c r="B52" s="14">
        <v>200</v>
      </c>
      <c r="C52" s="4"/>
      <c r="D52" s="11" t="s">
        <v>9</v>
      </c>
      <c r="E52" s="14">
        <v>400</v>
      </c>
    </row>
    <row r="53" spans="1:5" ht="15.75" customHeight="1" x14ac:dyDescent="0.25">
      <c r="A53" s="11" t="s">
        <v>9</v>
      </c>
      <c r="B53" s="14">
        <v>0</v>
      </c>
      <c r="C53" s="4"/>
      <c r="D53" s="11" t="s">
        <v>9</v>
      </c>
      <c r="E53" s="14">
        <v>0</v>
      </c>
    </row>
    <row r="54" spans="1:5" ht="15.75" customHeight="1" x14ac:dyDescent="0.25">
      <c r="A54" s="11" t="s">
        <v>9</v>
      </c>
      <c r="B54" s="14">
        <v>0</v>
      </c>
      <c r="C54" s="4"/>
      <c r="D54" s="11" t="s">
        <v>9</v>
      </c>
      <c r="E54" s="14">
        <v>0</v>
      </c>
    </row>
    <row r="55" spans="1:5" ht="15.75" customHeight="1" x14ac:dyDescent="0.25">
      <c r="A55" s="11" t="s">
        <v>10</v>
      </c>
      <c r="B55" s="11">
        <f>B51+B52+B53+B54</f>
        <v>1168.77</v>
      </c>
      <c r="C55" s="15"/>
      <c r="D55" s="11" t="s">
        <v>10</v>
      </c>
      <c r="E55" s="11">
        <f>E51+E52+E53+E54</f>
        <v>1339.4</v>
      </c>
    </row>
    <row r="56" spans="1:5" ht="15.75" customHeight="1" x14ac:dyDescent="0.25">
      <c r="A56" s="16" t="s">
        <v>11</v>
      </c>
      <c r="B56" s="17">
        <f>E42+(B49-B50-B52-B53-B54)+B57</f>
        <v>872.02333333333354</v>
      </c>
      <c r="C56" s="18"/>
      <c r="D56" s="16" t="s">
        <v>11</v>
      </c>
      <c r="E56" s="17">
        <f>B56+(E49-E50-E52-E53-E54)+E57</f>
        <v>773.02333333333331</v>
      </c>
    </row>
    <row r="57" spans="1:5" ht="15.75" customHeight="1" x14ac:dyDescent="0.25">
      <c r="A57" s="16" t="s">
        <v>12</v>
      </c>
      <c r="B57" s="19">
        <v>0</v>
      </c>
      <c r="C57" s="18"/>
      <c r="D57" s="16" t="s">
        <v>12</v>
      </c>
      <c r="E57" s="19">
        <v>0</v>
      </c>
    </row>
    <row r="58" spans="1:5" ht="15.75" customHeight="1" x14ac:dyDescent="0.25">
      <c r="A58" s="7"/>
      <c r="B58" s="18"/>
      <c r="C58" s="18"/>
      <c r="D58" s="7"/>
      <c r="E58" s="18"/>
    </row>
    <row r="59" spans="1:5" ht="15.75" customHeight="1" x14ac:dyDescent="0.3">
      <c r="A59" s="22">
        <v>2023</v>
      </c>
      <c r="B59" s="23"/>
      <c r="C59" s="1"/>
      <c r="D59" s="22">
        <v>2023</v>
      </c>
      <c r="E59" s="23"/>
    </row>
    <row r="60" spans="1:5" ht="15.75" customHeight="1" x14ac:dyDescent="0.25">
      <c r="A60" s="2" t="s">
        <v>1</v>
      </c>
      <c r="B60" s="3">
        <v>11</v>
      </c>
      <c r="C60" s="4"/>
      <c r="D60" s="5" t="s">
        <v>1</v>
      </c>
      <c r="E60" s="6">
        <v>11</v>
      </c>
    </row>
    <row r="61" spans="1:5" ht="15.75" customHeight="1" x14ac:dyDescent="0.25">
      <c r="A61" s="24" t="s">
        <v>25</v>
      </c>
      <c r="B61" s="23"/>
      <c r="C61" s="7"/>
      <c r="D61" s="24" t="s">
        <v>26</v>
      </c>
      <c r="E61" s="23"/>
    </row>
    <row r="62" spans="1:5" ht="15.75" customHeight="1" x14ac:dyDescent="0.25">
      <c r="A62" s="8" t="s">
        <v>4</v>
      </c>
      <c r="B62" s="9">
        <v>5.6388888888888893</v>
      </c>
      <c r="C62" s="10"/>
      <c r="D62" s="8" t="s">
        <v>4</v>
      </c>
      <c r="E62" s="9">
        <v>6.6875</v>
      </c>
    </row>
    <row r="63" spans="1:5" ht="15.75" customHeight="1" x14ac:dyDescent="0.25">
      <c r="A63" s="11" t="s">
        <v>27</v>
      </c>
      <c r="B63" s="12">
        <f>B62*$B$60*24</f>
        <v>1488.666666666667</v>
      </c>
      <c r="C63" s="13"/>
      <c r="D63" s="11" t="s">
        <v>28</v>
      </c>
      <c r="E63" s="12">
        <f>E62*$E$60*24</f>
        <v>1765.5</v>
      </c>
    </row>
    <row r="64" spans="1:5" ht="15.75" customHeight="1" x14ac:dyDescent="0.25">
      <c r="A64" s="11" t="s">
        <v>7</v>
      </c>
      <c r="B64" s="14">
        <v>945</v>
      </c>
      <c r="C64" s="4"/>
      <c r="D64" s="11" t="s">
        <v>7</v>
      </c>
      <c r="E64" s="14">
        <v>1120</v>
      </c>
    </row>
    <row r="65" spans="1:5" ht="15.75" customHeight="1" x14ac:dyDescent="0.25">
      <c r="A65" s="11" t="s">
        <v>8</v>
      </c>
      <c r="B65" s="14">
        <v>747.35</v>
      </c>
      <c r="C65" s="4"/>
      <c r="D65" s="11" t="s">
        <v>8</v>
      </c>
      <c r="E65" s="14">
        <v>872.65</v>
      </c>
    </row>
    <row r="66" spans="1:5" ht="15.75" customHeight="1" x14ac:dyDescent="0.25">
      <c r="A66" s="11" t="s">
        <v>9</v>
      </c>
      <c r="B66" s="14">
        <v>400</v>
      </c>
      <c r="C66" s="4"/>
      <c r="D66" s="11" t="s">
        <v>9</v>
      </c>
      <c r="E66" s="14">
        <v>300</v>
      </c>
    </row>
    <row r="67" spans="1:5" ht="15.75" customHeight="1" x14ac:dyDescent="0.25">
      <c r="A67" s="11" t="s">
        <v>9</v>
      </c>
      <c r="B67" s="14">
        <v>400</v>
      </c>
      <c r="C67" s="4"/>
      <c r="D67" s="11" t="s">
        <v>9</v>
      </c>
      <c r="E67" s="14">
        <v>1700</v>
      </c>
    </row>
    <row r="68" spans="1:5" ht="15.75" customHeight="1" x14ac:dyDescent="0.25">
      <c r="A68" s="11" t="s">
        <v>9</v>
      </c>
      <c r="B68" s="14">
        <v>0</v>
      </c>
      <c r="C68" s="4"/>
      <c r="D68" s="11" t="s">
        <v>9</v>
      </c>
      <c r="E68" s="14">
        <v>0</v>
      </c>
    </row>
    <row r="69" spans="1:5" ht="15.75" customHeight="1" x14ac:dyDescent="0.25">
      <c r="A69" s="11" t="s">
        <v>10</v>
      </c>
      <c r="B69" s="11">
        <f>B65+B66+B67+B68</f>
        <v>1547.35</v>
      </c>
      <c r="C69" s="15"/>
      <c r="D69" s="11" t="s">
        <v>10</v>
      </c>
      <c r="E69" s="11">
        <f>E65+E66+E67+E68</f>
        <v>2872.65</v>
      </c>
    </row>
    <row r="70" spans="1:5" ht="15.75" customHeight="1" x14ac:dyDescent="0.25">
      <c r="A70" s="16" t="s">
        <v>11</v>
      </c>
      <c r="B70" s="17">
        <f>E56+(B63-B64-B66-B67-B68)+B71</f>
        <v>516.69000000000028</v>
      </c>
      <c r="C70" s="18"/>
      <c r="D70" s="16" t="s">
        <v>11</v>
      </c>
      <c r="E70" s="17">
        <f>B70+(E63-E64-E66-E67-E68)+E71</f>
        <v>-837.80999999999972</v>
      </c>
    </row>
    <row r="71" spans="1:5" ht="15.75" customHeight="1" x14ac:dyDescent="0.25">
      <c r="A71" s="16" t="s">
        <v>12</v>
      </c>
      <c r="B71" s="19">
        <v>0</v>
      </c>
      <c r="C71" s="18"/>
      <c r="D71" s="16" t="s">
        <v>12</v>
      </c>
      <c r="E71" s="19">
        <v>0</v>
      </c>
    </row>
    <row r="72" spans="1:5" ht="15.75" customHeight="1" x14ac:dyDescent="0.25">
      <c r="A72" s="7"/>
      <c r="B72" s="18"/>
      <c r="C72" s="18"/>
      <c r="D72" s="7"/>
      <c r="E72" s="18"/>
    </row>
    <row r="73" spans="1:5" ht="15.75" customHeight="1" x14ac:dyDescent="0.3">
      <c r="A73" s="22">
        <v>2023</v>
      </c>
      <c r="B73" s="23"/>
      <c r="C73" s="1"/>
      <c r="D73" s="22">
        <v>2023</v>
      </c>
      <c r="E73" s="23"/>
    </row>
    <row r="74" spans="1:5" ht="15.75" customHeight="1" x14ac:dyDescent="0.25">
      <c r="A74" s="2" t="s">
        <v>1</v>
      </c>
      <c r="B74" s="3">
        <v>11</v>
      </c>
      <c r="C74" s="4"/>
      <c r="D74" s="5" t="s">
        <v>1</v>
      </c>
      <c r="E74" s="6">
        <v>11</v>
      </c>
    </row>
    <row r="75" spans="1:5" ht="15.75" customHeight="1" x14ac:dyDescent="0.25">
      <c r="A75" s="24" t="s">
        <v>29</v>
      </c>
      <c r="B75" s="23"/>
      <c r="C75" s="7"/>
      <c r="D75" s="24" t="s">
        <v>30</v>
      </c>
      <c r="E75" s="23"/>
    </row>
    <row r="76" spans="1:5" ht="15.75" customHeight="1" x14ac:dyDescent="0.25">
      <c r="A76" s="8" t="s">
        <v>4</v>
      </c>
      <c r="B76" s="9">
        <v>4.2465277777777777</v>
      </c>
      <c r="C76" s="10"/>
      <c r="D76" s="8" t="s">
        <v>4</v>
      </c>
      <c r="E76" s="9">
        <v>0</v>
      </c>
    </row>
    <row r="77" spans="1:5" ht="15.75" customHeight="1" x14ac:dyDescent="0.25">
      <c r="A77" s="11" t="s">
        <v>31</v>
      </c>
      <c r="B77" s="12">
        <f>B76*$B$74*24</f>
        <v>1121.0833333333335</v>
      </c>
      <c r="C77" s="13"/>
      <c r="D77" s="11" t="s">
        <v>32</v>
      </c>
      <c r="E77" s="12">
        <f>E76*$E$74*24</f>
        <v>0</v>
      </c>
    </row>
    <row r="78" spans="1:5" ht="15.75" customHeight="1" x14ac:dyDescent="0.25">
      <c r="A78" s="11" t="s">
        <v>7</v>
      </c>
      <c r="B78" s="14">
        <v>1038.3800000000001</v>
      </c>
      <c r="C78" s="4"/>
      <c r="D78" s="11" t="s">
        <v>7</v>
      </c>
      <c r="E78" s="14">
        <v>0</v>
      </c>
    </row>
    <row r="79" spans="1:5" ht="15.75" customHeight="1" x14ac:dyDescent="0.25">
      <c r="A79" s="11" t="s">
        <v>8</v>
      </c>
      <c r="B79" s="14">
        <v>851.23</v>
      </c>
      <c r="C79" s="4"/>
      <c r="D79" s="11" t="s">
        <v>8</v>
      </c>
      <c r="E79" s="14">
        <v>0</v>
      </c>
    </row>
    <row r="80" spans="1:5" ht="15.75" customHeight="1" x14ac:dyDescent="0.25">
      <c r="A80" s="11" t="s">
        <v>9</v>
      </c>
      <c r="B80" s="14">
        <v>0</v>
      </c>
      <c r="C80" s="4"/>
      <c r="D80" s="11" t="s">
        <v>9</v>
      </c>
      <c r="E80" s="14">
        <v>0</v>
      </c>
    </row>
    <row r="81" spans="1:5" ht="15.75" customHeight="1" x14ac:dyDescent="0.25">
      <c r="A81" s="11" t="s">
        <v>9</v>
      </c>
      <c r="B81" s="14">
        <v>0</v>
      </c>
      <c r="C81" s="4"/>
      <c r="D81" s="11" t="s">
        <v>9</v>
      </c>
      <c r="E81" s="14">
        <v>0</v>
      </c>
    </row>
    <row r="82" spans="1:5" ht="15.75" customHeight="1" x14ac:dyDescent="0.25">
      <c r="A82" s="11" t="s">
        <v>9</v>
      </c>
      <c r="B82" s="14">
        <v>0</v>
      </c>
      <c r="C82" s="4"/>
      <c r="D82" s="11" t="s">
        <v>9</v>
      </c>
      <c r="E82" s="14">
        <v>0</v>
      </c>
    </row>
    <row r="83" spans="1:5" ht="15.75" customHeight="1" x14ac:dyDescent="0.25">
      <c r="A83" s="11" t="s">
        <v>10</v>
      </c>
      <c r="B83" s="11">
        <f>B79+B80+B81+B82</f>
        <v>851.23</v>
      </c>
      <c r="C83" s="15"/>
      <c r="D83" s="11" t="s">
        <v>10</v>
      </c>
      <c r="E83" s="11">
        <f>E79+E80+E81+E82</f>
        <v>0</v>
      </c>
    </row>
    <row r="84" spans="1:5" ht="15.75" customHeight="1" x14ac:dyDescent="0.25">
      <c r="A84" s="16" t="s">
        <v>11</v>
      </c>
      <c r="B84" s="17">
        <f>E70+(B77-B78-B80-B81-B82)+B85</f>
        <v>-755.10666666666634</v>
      </c>
      <c r="C84" s="18"/>
      <c r="D84" s="16" t="s">
        <v>11</v>
      </c>
      <c r="E84" s="17">
        <f>B84+(E77-E78-E80-E81-E82)+E85</f>
        <v>-755.10666666666634</v>
      </c>
    </row>
    <row r="85" spans="1:5" ht="15.75" customHeight="1" x14ac:dyDescent="0.25">
      <c r="A85" s="16" t="s">
        <v>12</v>
      </c>
      <c r="B85" s="19">
        <v>0</v>
      </c>
      <c r="D85" s="16" t="s">
        <v>12</v>
      </c>
      <c r="E85" s="19">
        <v>0</v>
      </c>
    </row>
    <row r="86" spans="1:5" ht="15.75" customHeight="1" x14ac:dyDescent="0.25"/>
    <row r="87" spans="1:5" ht="15.75" customHeight="1" x14ac:dyDescent="0.25"/>
    <row r="88" spans="1:5" ht="15.75" customHeight="1" x14ac:dyDescent="0.25"/>
    <row r="89" spans="1:5" ht="15.75" customHeight="1" x14ac:dyDescent="0.25"/>
    <row r="90" spans="1:5" ht="15.75" customHeight="1" x14ac:dyDescent="0.25"/>
    <row r="91" spans="1:5" ht="15.75" customHeight="1" x14ac:dyDescent="0.25"/>
    <row r="92" spans="1:5" ht="15.75" customHeight="1" x14ac:dyDescent="0.25"/>
    <row r="93" spans="1:5" ht="15.75" customHeight="1" x14ac:dyDescent="0.25"/>
    <row r="94" spans="1:5" ht="15.75" customHeight="1" x14ac:dyDescent="0.25"/>
    <row r="95" spans="1:5" ht="15.75" customHeight="1" x14ac:dyDescent="0.25"/>
    <row r="96" spans="1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75:B75"/>
    <mergeCell ref="D75:E75"/>
    <mergeCell ref="A45:B45"/>
    <mergeCell ref="A47:B47"/>
    <mergeCell ref="D47:E47"/>
    <mergeCell ref="A59:B59"/>
    <mergeCell ref="D59:E59"/>
    <mergeCell ref="A61:B61"/>
    <mergeCell ref="D61:E61"/>
    <mergeCell ref="A33:B33"/>
    <mergeCell ref="D33:E33"/>
    <mergeCell ref="D45:E45"/>
    <mergeCell ref="A73:B73"/>
    <mergeCell ref="D73:E73"/>
    <mergeCell ref="A17:B17"/>
    <mergeCell ref="D17:E17"/>
    <mergeCell ref="A19:B19"/>
    <mergeCell ref="D19:E19"/>
    <mergeCell ref="A31:B31"/>
    <mergeCell ref="D31:E31"/>
    <mergeCell ref="A1:E2"/>
    <mergeCell ref="A3:B3"/>
    <mergeCell ref="D3:E3"/>
    <mergeCell ref="A5:B5"/>
    <mergeCell ref="D5:E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Piķis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KOKTO</dc:creator>
  <cp:lastModifiedBy>Vitalijs Karpinskis</cp:lastModifiedBy>
  <dcterms:created xsi:type="dcterms:W3CDTF">2023-06-22T16:41:24Z</dcterms:created>
  <dcterms:modified xsi:type="dcterms:W3CDTF">2024-12-19T04:22:40Z</dcterms:modified>
</cp:coreProperties>
</file>